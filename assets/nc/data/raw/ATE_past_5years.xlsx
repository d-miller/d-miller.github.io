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davidmiller/Dropbox/Github/d-miller.github.io/assets/aewrn224/data/raw/"/>
    </mc:Choice>
  </mc:AlternateContent>
  <xr:revisionPtr revIDLastSave="0" documentId="13_ncr:80000009_{A341C201-220B-684B-94B8-316339F6B49D}" xr6:coauthVersionLast="47" xr6:coauthVersionMax="47" xr10:uidLastSave="{00000000-0000-0000-0000-000000000000}"/>
  <bookViews>
    <workbookView xWindow="2540" yWindow="780" windowWidth="30240" windowHeight="17000" tabRatio="500" xr2:uid="{479A0EC9-2C02-FE4E-AE26-381D561BBEDD}"/>
  </bookViews>
  <sheets>
    <sheet name="Awards" sheetId="1" r:id="rId1"/>
    <sheet name="Sheet1" sheetId="2" r:id="rId2"/>
  </sheets>
  <definedNames>
    <definedName name="_xlnm._FilterDatabase" localSheetId="0" hidden="1">Awards!$A$1:$Z$18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3" i="1" l="1"/>
  <c r="N3" i="1"/>
  <c r="N4" i="1"/>
  <c r="N6" i="1"/>
  <c r="N8" i="1"/>
  <c r="N9" i="1"/>
  <c r="N10" i="1"/>
  <c r="N11" i="1"/>
  <c r="N13" i="1"/>
  <c r="N15" i="1"/>
  <c r="N16" i="1"/>
  <c r="N17" i="1"/>
  <c r="N18" i="1"/>
  <c r="F16" i="2"/>
  <c r="F15" i="2"/>
  <c r="F14" i="2"/>
  <c r="F13" i="2"/>
  <c r="F12" i="2"/>
  <c r="F11" i="2"/>
  <c r="F10" i="2"/>
  <c r="F9" i="2"/>
  <c r="F8" i="2"/>
  <c r="F7" i="2"/>
  <c r="F6" i="2"/>
  <c r="F5" i="2"/>
  <c r="F4" i="2"/>
  <c r="F3" i="2"/>
  <c r="F2" i="2"/>
  <c r="F17" i="2"/>
  <c r="F18" i="2"/>
</calcChain>
</file>

<file path=xl/sharedStrings.xml><?xml version="1.0" encoding="utf-8"?>
<sst xmlns="http://schemas.openxmlformats.org/spreadsheetml/2006/main" count="523" uniqueCount="280">
  <si>
    <t>AwardNumber</t>
  </si>
  <si>
    <t>Title</t>
  </si>
  <si>
    <t>NSFOrganization</t>
  </si>
  <si>
    <t>Program(s)</t>
  </si>
  <si>
    <t>StartDate</t>
  </si>
  <si>
    <t>LastAmendmentDate</t>
  </si>
  <si>
    <t>PrincipalInvestigator</t>
  </si>
  <si>
    <t>State</t>
  </si>
  <si>
    <t>Organization</t>
  </si>
  <si>
    <t>AwardInstrument</t>
  </si>
  <si>
    <t>ProgramManager</t>
  </si>
  <si>
    <t>EndDate</t>
  </si>
  <si>
    <t>AwardedAmountToDate</t>
  </si>
  <si>
    <t>Co-PIName(s)</t>
  </si>
  <si>
    <t>PIEmailAddress</t>
  </si>
  <si>
    <t>OrganizationStreet</t>
  </si>
  <si>
    <t>OrganizationCity</t>
  </si>
  <si>
    <t>OrganizationState</t>
  </si>
  <si>
    <t>OrganizationZip</t>
  </si>
  <si>
    <t>OrganizationPhone</t>
  </si>
  <si>
    <t>NSFDirectorate</t>
  </si>
  <si>
    <t>ProgramElementCode(s)</t>
  </si>
  <si>
    <t>ProgramReferenceCode(s)</t>
  </si>
  <si>
    <t>ARRAAmount</t>
  </si>
  <si>
    <t>Abstract</t>
  </si>
  <si>
    <t>2600294</t>
  </si>
  <si>
    <t>Building a Quality Control Bioanalytical Lab Technician Pipeline Through Biotechnology Education and Industry Partnerships</t>
  </si>
  <si>
    <t>WTC</t>
  </si>
  <si>
    <t>Advanced Tech Education Prog</t>
  </si>
  <si>
    <t>10/15/2026</t>
  </si>
  <si>
    <t>08/21/2026</t>
  </si>
  <si>
    <t>Christina G Weeks</t>
  </si>
  <si>
    <t>NC</t>
  </si>
  <si>
    <t>Pitt Community College</t>
  </si>
  <si>
    <t>Standard Grant</t>
  </si>
  <si>
    <t>Suazette Mooring</t>
  </si>
  <si>
    <t>09/30/2029</t>
  </si>
  <si>
    <t>$427,415.00</t>
  </si>
  <si>
    <t>Kristen A Bishop kabishop656@my.pittcc.edu</t>
  </si>
  <si>
    <t>cgweeks383@my.pittcc.edu</t>
  </si>
  <si>
    <t>1986 PITT TECH DR</t>
  </si>
  <si>
    <t>WINTERVILLE</t>
  </si>
  <si>
    <t>285907822</t>
  </si>
  <si>
    <t>2524937383</t>
  </si>
  <si>
    <t>EDU</t>
  </si>
  <si>
    <t>741200</t>
  </si>
  <si>
    <t>1032, 8038, 9178, SMET</t>
  </si>
  <si>
    <t>$0.00</t>
  </si>
  <si>
    <t>This project will strengthen the skilled technical workforce needed for the growing life sciences industry in eastern North Carolina. Specifically, the project will prepare quality control bioanalytical lab technicians for careers in pharmaceutical manufa</t>
  </si>
  <si>
    <t>2553982</t>
  </si>
  <si>
    <t>Developing Biopharma Quality Technicians for the Biotechnology Workforce</t>
  </si>
  <si>
    <t>10/01/2026</t>
  </si>
  <si>
    <t>10/07/2026</t>
  </si>
  <si>
    <t>Michelle Sabaoun</t>
  </si>
  <si>
    <t>Alamance Community College</t>
  </si>
  <si>
    <t>$474,878.00</t>
  </si>
  <si>
    <t>Nikita U Kelkar (Former) nukelkar977@alamancecc.edu</t>
  </si>
  <si>
    <t>michelle.sabaoun@alamancecc.edu</t>
  </si>
  <si>
    <t>1247 JIMMIE KERR RD</t>
  </si>
  <si>
    <t>GRAHAM</t>
  </si>
  <si>
    <t>272538597</t>
  </si>
  <si>
    <t>3365064224</t>
  </si>
  <si>
    <t>This project serves the national interest by building a technically proficient workforce that will directly safeguard the quality and reliability of biopharmaceutical products. The project will develop an Associate of Applied Science (AAS) degree in bioph</t>
  </si>
  <si>
    <t>2600081</t>
  </si>
  <si>
    <t>Environmental and Natural Resource Technology (EARTh) Center</t>
  </si>
  <si>
    <t>08/14/2026</t>
  </si>
  <si>
    <t>Andrew McMahan</t>
  </si>
  <si>
    <t>Central Carolina Community College</t>
  </si>
  <si>
    <t>Olga Pierrakos</t>
  </si>
  <si>
    <t>09/30/2031</t>
  </si>
  <si>
    <t>$6,303,334.00</t>
  </si>
  <si>
    <t>Kirk J Laflin KLaflin@maine.rr.com, Jennifer Lee jennifer.lee@frontrange.edu, Brian P Ritter britter@eicc.edu</t>
  </si>
  <si>
    <t>amcmahan@cccc.edu</t>
  </si>
  <si>
    <t>1105 KELLY DR</t>
  </si>
  <si>
    <t>SANFORD</t>
  </si>
  <si>
    <t>273309840</t>
  </si>
  <si>
    <t>9197755401</t>
  </si>
  <si>
    <t>075Z, 093Z, 1032, 7556, 8816, 9178, SMET</t>
  </si>
  <si>
    <t>The Environmental and Natural Resource Technology (EARTh) Center is led by Central Carolina Community College (CCCC) in partnership with the National Partnership for Environmental Technology Education (National PETE), Nahant Marsh Education Center (NMEC),</t>
  </si>
  <si>
    <t>2600140</t>
  </si>
  <si>
    <t>Building Employer-Driven Pathways for Artificial Intelligence Technicians</t>
  </si>
  <si>
    <t>08/20/2026</t>
  </si>
  <si>
    <t>Melisa Bryant</t>
  </si>
  <si>
    <t>Forsyth Technical Community College</t>
  </si>
  <si>
    <t>Lulu Sun</t>
  </si>
  <si>
    <t>$916,640.00</t>
  </si>
  <si>
    <t>Baojie Zhang bzhang@forsythtech.edu</t>
  </si>
  <si>
    <t>jobryant@forsythtech.edu</t>
  </si>
  <si>
    <t>2100 SILAS CREEK PKWY</t>
  </si>
  <si>
    <t>WINSTON SALEM</t>
  </si>
  <si>
    <t>271035150</t>
  </si>
  <si>
    <t>3367347177</t>
  </si>
  <si>
    <t>093Z, 1032, 8037, 9178, SMET</t>
  </si>
  <si>
    <t>Artificial intelligence (AI) is rapidly transforming businesses, industries, and public organizations. As the adoption of AI grows, employers need skilled technicians who can support and apply these technologies in the workplace. To address this need, thi</t>
  </si>
  <si>
    <t>2452299</t>
  </si>
  <si>
    <t>Integrating Soft Skills with Technical Skills to Produce Next-Generation Cybersecurity Technicians</t>
  </si>
  <si>
    <t>10/01/2025</t>
  </si>
  <si>
    <t>08/28/2025</t>
  </si>
  <si>
    <t>Alan Gruver</t>
  </si>
  <si>
    <t>Johnston Community College</t>
  </si>
  <si>
    <t>R. Corby Hovis</t>
  </si>
  <si>
    <t>09/30/2028</t>
  </si>
  <si>
    <t>$565,044.00</t>
  </si>
  <si>
    <t>Kristopher R Bradshaw krbradshaw@johnstoncc.edu, David E Oliver deoliver@johnstoncc.edu</t>
  </si>
  <si>
    <t>aagruver@johnstoncc.edu</t>
  </si>
  <si>
    <t>245 COLLEGE RD</t>
  </si>
  <si>
    <t>SMITHFIELD</t>
  </si>
  <si>
    <t>27577</t>
  </si>
  <si>
    <t>9192092571</t>
  </si>
  <si>
    <t>1032, 9178</t>
  </si>
  <si>
    <t>This project aims to serve the national interest by producing more qualified technicians to meet workforce demands in cybersecurity. Keeping computers and information systems secure is a critical need and a major challenge in business, industry, and gover</t>
  </si>
  <si>
    <t>2500556</t>
  </si>
  <si>
    <t>FutureForce: AI Cyber Workforce Initiative</t>
  </si>
  <si>
    <t>09/18/2025</t>
  </si>
  <si>
    <t>Christopher S Davis</t>
  </si>
  <si>
    <t>Piedmont Community College</t>
  </si>
  <si>
    <t>$475,000.00</t>
  </si>
  <si>
    <t>Syed Q Raza syed.raza@piedmontcc.edu, Janet Bottoms Janet.Bottoms@piedmontcc.edu</t>
  </si>
  <si>
    <t>chris.davis@piedmontcc.edu</t>
  </si>
  <si>
    <t>1715 COLLEGE DR</t>
  </si>
  <si>
    <t>ROXBORO</t>
  </si>
  <si>
    <t>27574</t>
  </si>
  <si>
    <t>9195991181</t>
  </si>
  <si>
    <t>093Z, 1032, 9178, SMET</t>
  </si>
  <si>
    <t>Piedmont Community College (PCC) is located a short distance from Research Triangle Park. The Triangle Region has a diverse business ecosystem with over 7,000 companies across multiple industries including Agtech, Cleantech, Life Sciences, Advantaged Manu</t>
  </si>
  <si>
    <t>2500068</t>
  </si>
  <si>
    <t>Advancing Automation Curricula to Graduate Technicians to Meet Future Industry Needs</t>
  </si>
  <si>
    <t>08/26/2025</t>
  </si>
  <si>
    <t>Lora Eddington</t>
  </si>
  <si>
    <t>Wake Technical Community College</t>
  </si>
  <si>
    <t>$999,955.00</t>
  </si>
  <si>
    <t>Russell Wahrman rawahrman@waketech.edu, Christopher Irwin ctirwin@waketech.edu</t>
  </si>
  <si>
    <t>lmeddington@waketech.edu</t>
  </si>
  <si>
    <t>9101 FAYETTEVILLE RD</t>
  </si>
  <si>
    <t>RALEIGH</t>
  </si>
  <si>
    <t>276035655</t>
  </si>
  <si>
    <t>9198665076</t>
  </si>
  <si>
    <t>1032, 8037, 9178, SMET</t>
  </si>
  <si>
    <t>Training a skilled workforce in advanced manufacturing helps grow the domestic economy, benefits national security, and enhances global competitiveness. The Raleigh, North Carolina region is expected to have a 14% to 29% growth in advanced manufacturing a</t>
  </si>
  <si>
    <t>2500136</t>
  </si>
  <si>
    <t>Advancing Education in Electric Vehicle Technology</t>
  </si>
  <si>
    <t>09/15/2025</t>
  </si>
  <si>
    <t>09/09/2025</t>
  </si>
  <si>
    <t>Johnny O'Connell</t>
  </si>
  <si>
    <t>Southeastern Community College</t>
  </si>
  <si>
    <t>08/31/2028</t>
  </si>
  <si>
    <t>$468,929.00</t>
  </si>
  <si>
    <t>David Higgins david.higgins@sccnc.edu</t>
  </si>
  <si>
    <t>johnny025537@sccnc.edu</t>
  </si>
  <si>
    <t>4564 CHADBOURN HWY</t>
  </si>
  <si>
    <t>WHITEVILLE</t>
  </si>
  <si>
    <t>284725423</t>
  </si>
  <si>
    <t>9106427141</t>
  </si>
  <si>
    <t>1032, 9178, SMET</t>
  </si>
  <si>
    <t xml:space="preserve">Southeastern Community College (SCC), located in Whiteville, North Carolina, will collaborate with area high schools, businesses, and industry to prepare and employ skilled and highly qualified Electric Vehicle (EV) technicians to address the significant </t>
  </si>
  <si>
    <t>2500901</t>
  </si>
  <si>
    <t>Generating Artificial Intelligence Talent</t>
  </si>
  <si>
    <t>07/01/2025</t>
  </si>
  <si>
    <t>09/22/2026</t>
  </si>
  <si>
    <t>Carl L Arrington</t>
  </si>
  <si>
    <t>Central Piedmont Community College</t>
  </si>
  <si>
    <t>06/30/2028</t>
  </si>
  <si>
    <t>$549,155.00</t>
  </si>
  <si>
    <t>Frazier A Smith frazier.smith@cpcc.edu</t>
  </si>
  <si>
    <t>carl.arrington@cpcc.edu</t>
  </si>
  <si>
    <t>1201 ELIZABETH AVE</t>
  </si>
  <si>
    <t>CHARLOTTE</t>
  </si>
  <si>
    <t>28204</t>
  </si>
  <si>
    <t>7043303805</t>
  </si>
  <si>
    <t>075Z, 092Z, 093Z, 1032, 147Z, 8816, 9178, SMET</t>
  </si>
  <si>
    <t>The incorporation of Artificial Intelligence (AI) is projected to change the foundational knowledge students need to excel as they embark on technician career paths. Current workforce research reveals that demand outpaces supply as U.S. businesses attempt</t>
  </si>
  <si>
    <t>2348707</t>
  </si>
  <si>
    <t>Implementing a Simulated Cyber Range Training Environment to Prepare Cyber Technicians</t>
  </si>
  <si>
    <t>07/01/2024</t>
  </si>
  <si>
    <t>04/23/2024</t>
  </si>
  <si>
    <t>Kristopher R Bradshaw</t>
  </si>
  <si>
    <t>06/30/2027</t>
  </si>
  <si>
    <t>$645,836.00</t>
  </si>
  <si>
    <t>David E Oliver deoliver@johnstoncc.edu</t>
  </si>
  <si>
    <t>krbradshaw@johnstoncc.edu</t>
  </si>
  <si>
    <t>1032, 8045, 9178, SMET</t>
  </si>
  <si>
    <t xml:space="preserve">This project aims to serve the national interest by integrating a state-of-the-art Cyber Range into a cybersecurity program at Johnston Community College (JCC). This project intends to provide students with hands-on experiences of live fire cyberattacks. </t>
  </si>
  <si>
    <t>2400407</t>
  </si>
  <si>
    <t>Curriculum Integration in Training EVs (CITE)</t>
  </si>
  <si>
    <t>04/15/2024</t>
  </si>
  <si>
    <t>Carl J Stutz</t>
  </si>
  <si>
    <t>$636,128.00</t>
  </si>
  <si>
    <t>John R McNary jmcnary@waketech.edu</t>
  </si>
  <si>
    <t>cjstutz@waketech.edu</t>
  </si>
  <si>
    <t>Wake Technical Community College (Wake Tech) in Raleigh, North Carolina will be investigating emerging electric vehicle (EV) and hybrid vehicle workforce challenges in the nation's race to increase energy security. This project will advance knowledge by t</t>
  </si>
  <si>
    <t>2400694</t>
  </si>
  <si>
    <t>Cultivating Cyber Safety Across Disciplines</t>
  </si>
  <si>
    <t>06/24/2024</t>
  </si>
  <si>
    <t>Nakisha Floyd</t>
  </si>
  <si>
    <t>Nash Community College</t>
  </si>
  <si>
    <t>$539,574.00</t>
  </si>
  <si>
    <t>Amy J Vester ajvester744@nashcc.edu</t>
  </si>
  <si>
    <t>nwfloyd583@nashcc.edu</t>
  </si>
  <si>
    <t>522 N OLD CARRIAGE RD</t>
  </si>
  <si>
    <t>ROCKY MOUNT</t>
  </si>
  <si>
    <t>278049708</t>
  </si>
  <si>
    <t>2524518418</t>
  </si>
  <si>
    <t xml:space="preserve">This project aims to serve the national interest by integrating cyber safety principles into Information Technology (IT/IS) associate degree track at Nash Community College. The project intends to produce skilled IT/IS technicians equipped with essential </t>
  </si>
  <si>
    <t>2410621</t>
  </si>
  <si>
    <t>Establishing an Environmental and Natural Resources Technology Center</t>
  </si>
  <si>
    <t>01/01/2024</t>
  </si>
  <si>
    <t>02/02/2026</t>
  </si>
  <si>
    <t>09/30/2027</t>
  </si>
  <si>
    <t>$6,386,914.00</t>
  </si>
  <si>
    <t/>
  </si>
  <si>
    <t>102Z, 1032, 9150, 9178, SMET</t>
  </si>
  <si>
    <t>Environmental Technologies (ET) is a career field that applies math, science, technology, economics, engineering, law and communication to manage, protect and sustain natural resources and to ensure human health and safety. Environmental technicians are a</t>
  </si>
  <si>
    <t>2300650</t>
  </si>
  <si>
    <t>Preparing Manufacturing Technicians for the Challenges of Industry 4.0</t>
  </si>
  <si>
    <t>10/01/2023</t>
  </si>
  <si>
    <t>05/31/2024</t>
  </si>
  <si>
    <t>MERDIKAE WILLIAMS</t>
  </si>
  <si>
    <t>Edgecombe Community College</t>
  </si>
  <si>
    <t>Nasser Alaraje</t>
  </si>
  <si>
    <t>$306,236.00</t>
  </si>
  <si>
    <t>MERDIKAE WILLIAMS (Former) WILLIAMSME@EDGECOMBE.EDU</t>
  </si>
  <si>
    <t>WILLIAMSME@EDGECOMBE.EDU</t>
  </si>
  <si>
    <t>2009 W WILSON ST</t>
  </si>
  <si>
    <t>TARBORO</t>
  </si>
  <si>
    <t>27886</t>
  </si>
  <si>
    <t>9198235166</t>
  </si>
  <si>
    <t>Due to the fast pace of technological advancements in the manufacturing industry, employers have identified a need for more highly-trained manufacturing technicians. Desired skills for manufacturing technicians now include data acquisition, computer integ</t>
  </si>
  <si>
    <t>2329904</t>
  </si>
  <si>
    <t>Broadening Participation in Plant/Agricultural Biotechnology through Stackable Credentials Leading to an Associate in Science Degree</t>
  </si>
  <si>
    <t>10/15/2022</t>
  </si>
  <si>
    <t>04/14/2026</t>
  </si>
  <si>
    <t>Jill C Mikulecky</t>
  </si>
  <si>
    <t>Liz Webber</t>
  </si>
  <si>
    <t>04/30/2027</t>
  </si>
  <si>
    <t>$449,001.00</t>
  </si>
  <si>
    <t>Moira C Hughes mhughes6@waketech.edu, Elizabeth J Calvente ejcalvente@waketech.edu, Ying-Tsu Loh (Former) yingtsu@babec.org</t>
  </si>
  <si>
    <t>jcmikulecky@waketech.edu</t>
  </si>
  <si>
    <t>102Z, 1032, 9178, SMET</t>
  </si>
  <si>
    <t xml:space="preserve">In response to changing agriculture priorities, the plant/agricultural biotechnology industry is growing in the California Central Coast region.  Individuals from Hispanic communities continue to be underrepresented in biotechnology.  This project is led </t>
  </si>
  <si>
    <t>2202007</t>
  </si>
  <si>
    <t>Preparing Students for the Industry 4.0 Technician Workforce</t>
  </si>
  <si>
    <t>07/01/2022</t>
  </si>
  <si>
    <t>03/15/2022</t>
  </si>
  <si>
    <t>Edward P Garner</t>
  </si>
  <si>
    <t>06/30/2026</t>
  </si>
  <si>
    <t>$520,783.00</t>
  </si>
  <si>
    <t>Juan Benitez jabenitez@waketech.edu, Christopher Irwin ctirwin@waketech.edu, Hessam Ghassemi hghassemi@waketech.edu</t>
  </si>
  <si>
    <t>epgarner@waketech.edu</t>
  </si>
  <si>
    <t xml:space="preserve">Manufacturers are implementing new Industry 4.0 technologies to improve the performance of their production systems and supply chain. Highly skilled technicians are essential for designing, programming, and maintaining software and hardware used in these </t>
  </si>
  <si>
    <t>2201663</t>
  </si>
  <si>
    <t>Expanding a Multi-skilled STEM Technician Pipeline to Meet Industry Needs</t>
  </si>
  <si>
    <t>DUE</t>
  </si>
  <si>
    <t>03/21/2022</t>
  </si>
  <si>
    <t>Melissa Robbins</t>
  </si>
  <si>
    <t>$635,012.00</t>
  </si>
  <si>
    <t>Julie Griffin jcgriffin@johnstoncc.edu, Shawn Ford smford@johnstoncc.edu, William M Kirby wmkirby@johnstoncc.edu</t>
  </si>
  <si>
    <t>mrobbins1@waketech.edu</t>
  </si>
  <si>
    <t>Johnston Community College’s (JCC) Expanding a Multi-skilled STEM Technician Pipeline to Meet Industry Needs “Bio Blend 2.0” seeks to better prepare students to meet biotechnology company hiring needs and to improve employment outcomes for underserved pop</t>
  </si>
  <si>
    <t>Alamance</t>
  </si>
  <si>
    <t>Central Carolina</t>
  </si>
  <si>
    <t>Central Piedmont</t>
  </si>
  <si>
    <t>Edgecombe</t>
  </si>
  <si>
    <t>Forsyth Tech</t>
  </si>
  <si>
    <t>Johnston</t>
  </si>
  <si>
    <t>Nash</t>
  </si>
  <si>
    <t>Piedmont</t>
  </si>
  <si>
    <t>Pitt</t>
  </si>
  <si>
    <t>Southeastern</t>
  </si>
  <si>
    <t>Wake Tech</t>
  </si>
  <si>
    <t>williamsme@edgecombe.edu</t>
  </si>
  <si>
    <t>Merdikae Williams</t>
  </si>
  <si>
    <t>Carl Arrington</t>
  </si>
  <si>
    <t>Kristopher Bradshaw</t>
  </si>
  <si>
    <t>Christopher Davis</t>
  </si>
  <si>
    <t>Christina Weeks</t>
  </si>
  <si>
    <t>Carl Stutz</t>
  </si>
  <si>
    <t>Jill Mikulecky</t>
  </si>
  <si>
    <t>Edward Garner</t>
  </si>
  <si>
    <t>Email</t>
  </si>
  <si>
    <t>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</si>
</sst>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indexed="0"/>
      <name val="Arial"/>
    </font>
    <font>
      <sz val="12"/>
      <color indexed="0"/>
      <name val="Arial"/>
      <family val="2"/>
    </font>
    <font>
      <sz val="12"/>
      <color rgb="FF00000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top"/>
      <protection locked="0"/>
    </xf>
  </cellStyleXfs>
  <cellXfs count="7">
    <xf numFmtId="0" fontId="0" fillId="0" borderId="0" xfId="0" applyAlignment="1" applyProtection="1"/>
    <xf numFmtId="0" fontId="0" fillId="0" borderId="0" xfId="0">
      <alignment vertical="top"/>
      <protection locked="0"/>
    </xf>
    <xf numFmtId="0" fontId="1" fillId="0" borderId="0" xfId="0" applyFont="1">
      <alignment vertical="top"/>
      <protection locked="0"/>
    </xf>
    <xf numFmtId="0" fontId="0" fillId="0" borderId="0" xfId="0" applyFont="1" applyAlignment="1" applyProtection="1">
      <alignment vertical="top"/>
      <protection locked="0"/>
    </xf>
    <xf numFmtId="0" fontId="2" fillId="0" borderId="0" xfId="0" applyFont="1" applyAlignment="1" applyProtection="1">
      <alignment vertical="top"/>
      <protection locked="0"/>
    </xf>
    <xf numFmtId="0" fontId="0" fillId="0" borderId="0" xfId="0" applyFont="1">
      <alignment vertical="top"/>
      <protection locked="0"/>
    </xf>
    <xf numFmtId="0" fontId="0" fillId="2" borderId="0" xfId="0" applyFill="1">
      <alignmen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5A02B-97E1-984D-A183-DB85B8E46C10}">
  <sheetPr codeName="Awards"/>
  <dimension ref="A1:Z23"/>
  <sheetViews>
    <sheetView tabSelected="1" zoomScale="87" workbookViewId="0">
      <selection activeCell="A5" sqref="A5"/>
    </sheetView>
  </sheetViews>
  <sheetFormatPr baseColWidth="10" defaultRowHeight="16" x14ac:dyDescent="0.2"/>
  <cols>
    <col min="1" max="1" width="15.85546875" customWidth="1"/>
    <col min="2" max="2" width="40.85546875" customWidth="1"/>
    <col min="3" max="3" width="15.85546875" customWidth="1"/>
    <col min="4" max="4" width="30.85546875" customWidth="1"/>
    <col min="5" max="5" width="12.85546875" customWidth="1"/>
    <col min="6" max="6" width="15.85546875" customWidth="1"/>
    <col min="7" max="7" width="25.85546875" customWidth="1"/>
    <col min="8" max="8" width="8.85546875" customWidth="1"/>
    <col min="9" max="9" width="30.85546875" customWidth="1"/>
    <col min="10" max="10" width="15.85546875" customWidth="1"/>
    <col min="11" max="11" width="20.85546875" customWidth="1"/>
    <col min="12" max="12" width="12.85546875" customWidth="1"/>
    <col min="13" max="14" width="18.85546875" customWidth="1"/>
    <col min="15" max="16" width="25.85546875" customWidth="1"/>
    <col min="17" max="17" width="30.85546875" customWidth="1"/>
    <col min="18" max="18" width="20.85546875" customWidth="1"/>
    <col min="19" max="19" width="8.85546875" customWidth="1"/>
    <col min="20" max="20" width="12.85546875" customWidth="1"/>
    <col min="21" max="22" width="15.85546875" customWidth="1"/>
    <col min="23" max="24" width="20.85546875" customWidth="1"/>
    <col min="25" max="25" width="15.85546875" customWidth="1"/>
    <col min="26" max="26" width="50.85546875" customWidth="1"/>
  </cols>
  <sheetData>
    <row r="1" spans="1:26" x14ac:dyDescent="0.2">
      <c r="A1" s="1" t="s">
        <v>0</v>
      </c>
      <c r="B1" s="1" t="s">
        <v>1</v>
      </c>
      <c r="C1" s="1" t="s">
        <v>2</v>
      </c>
      <c r="D1" s="1" t="s">
        <v>3</v>
      </c>
      <c r="E1" s="1" t="s">
        <v>4</v>
      </c>
      <c r="F1" s="1" t="s">
        <v>5</v>
      </c>
      <c r="G1" s="1" t="s">
        <v>6</v>
      </c>
      <c r="H1" s="1" t="s">
        <v>7</v>
      </c>
      <c r="I1" s="1" t="s">
        <v>8</v>
      </c>
      <c r="J1" s="1" t="s">
        <v>9</v>
      </c>
      <c r="K1" s="1" t="s">
        <v>10</v>
      </c>
      <c r="L1" s="1" t="s">
        <v>11</v>
      </c>
      <c r="M1" s="1" t="s">
        <v>12</v>
      </c>
      <c r="N1" s="5" t="s">
        <v>279</v>
      </c>
      <c r="O1" s="1" t="s">
        <v>13</v>
      </c>
      <c r="P1" s="1" t="s">
        <v>14</v>
      </c>
      <c r="Q1" s="1" t="s">
        <v>15</v>
      </c>
      <c r="R1" s="1" t="s">
        <v>16</v>
      </c>
      <c r="S1" s="1" t="s">
        <v>17</v>
      </c>
      <c r="T1" s="1" t="s">
        <v>18</v>
      </c>
      <c r="U1" s="1" t="s">
        <v>19</v>
      </c>
      <c r="V1" s="1" t="s">
        <v>20</v>
      </c>
      <c r="W1" s="1" t="s">
        <v>21</v>
      </c>
      <c r="X1" s="1" t="s">
        <v>22</v>
      </c>
      <c r="Y1" s="1" t="s">
        <v>23</v>
      </c>
      <c r="Z1" s="1" t="s">
        <v>24</v>
      </c>
    </row>
    <row r="2" spans="1:26" x14ac:dyDescent="0.2">
      <c r="A2" s="1" t="s">
        <v>49</v>
      </c>
      <c r="B2" s="1" t="s">
        <v>50</v>
      </c>
      <c r="C2" s="1" t="s">
        <v>27</v>
      </c>
      <c r="D2" s="1" t="s">
        <v>28</v>
      </c>
      <c r="E2" s="1" t="s">
        <v>51</v>
      </c>
      <c r="F2" s="1" t="s">
        <v>52</v>
      </c>
      <c r="G2" s="1" t="s">
        <v>53</v>
      </c>
      <c r="H2" s="1" t="s">
        <v>32</v>
      </c>
      <c r="I2" s="1" t="s">
        <v>54</v>
      </c>
      <c r="J2" s="1" t="s">
        <v>34</v>
      </c>
      <c r="K2" s="1" t="s">
        <v>35</v>
      </c>
      <c r="L2" s="1" t="s">
        <v>36</v>
      </c>
      <c r="M2" s="1" t="s">
        <v>55</v>
      </c>
      <c r="N2" s="1"/>
      <c r="O2" s="1" t="s">
        <v>56</v>
      </c>
      <c r="P2" s="1" t="s">
        <v>57</v>
      </c>
      <c r="Q2" s="1" t="s">
        <v>58</v>
      </c>
      <c r="R2" s="1" t="s">
        <v>59</v>
      </c>
      <c r="S2" s="1" t="s">
        <v>32</v>
      </c>
      <c r="T2" s="1" t="s">
        <v>60</v>
      </c>
      <c r="U2" s="1" t="s">
        <v>61</v>
      </c>
      <c r="V2" s="1" t="s">
        <v>44</v>
      </c>
      <c r="W2" s="1" t="s">
        <v>45</v>
      </c>
      <c r="X2" s="1" t="s">
        <v>46</v>
      </c>
      <c r="Y2" s="1" t="s">
        <v>47</v>
      </c>
      <c r="Z2" s="1" t="s">
        <v>62</v>
      </c>
    </row>
    <row r="3" spans="1:26" x14ac:dyDescent="0.2">
      <c r="A3" s="1" t="s">
        <v>63</v>
      </c>
      <c r="B3" s="1" t="s">
        <v>64</v>
      </c>
      <c r="C3" s="1" t="s">
        <v>27</v>
      </c>
      <c r="D3" s="1" t="s">
        <v>28</v>
      </c>
      <c r="E3" s="1" t="s">
        <v>51</v>
      </c>
      <c r="F3" s="1" t="s">
        <v>65</v>
      </c>
      <c r="G3" s="1" t="s">
        <v>66</v>
      </c>
      <c r="H3" s="1" t="s">
        <v>32</v>
      </c>
      <c r="I3" s="1" t="s">
        <v>67</v>
      </c>
      <c r="J3" s="1" t="s">
        <v>34</v>
      </c>
      <c r="K3" s="1" t="s">
        <v>68</v>
      </c>
      <c r="L3" s="1" t="s">
        <v>69</v>
      </c>
      <c r="M3" s="1" t="s">
        <v>70</v>
      </c>
      <c r="N3" s="6">
        <f t="shared" ref="N3:N18" si="0">M3*1</f>
        <v>6303334</v>
      </c>
      <c r="O3" s="1" t="s">
        <v>71</v>
      </c>
      <c r="P3" s="1" t="s">
        <v>72</v>
      </c>
      <c r="Q3" s="1" t="s">
        <v>73</v>
      </c>
      <c r="R3" s="1" t="s">
        <v>74</v>
      </c>
      <c r="S3" s="1" t="s">
        <v>32</v>
      </c>
      <c r="T3" s="1" t="s">
        <v>75</v>
      </c>
      <c r="U3" s="1" t="s">
        <v>76</v>
      </c>
      <c r="V3" s="1" t="s">
        <v>44</v>
      </c>
      <c r="W3" s="1" t="s">
        <v>45</v>
      </c>
      <c r="X3" s="1" t="s">
        <v>77</v>
      </c>
      <c r="Y3" s="1" t="s">
        <v>47</v>
      </c>
      <c r="Z3" s="1" t="s">
        <v>78</v>
      </c>
    </row>
    <row r="4" spans="1:26" x14ac:dyDescent="0.2">
      <c r="A4" s="1" t="s">
        <v>203</v>
      </c>
      <c r="B4" s="1" t="s">
        <v>204</v>
      </c>
      <c r="C4" s="1" t="s">
        <v>27</v>
      </c>
      <c r="D4" s="1" t="s">
        <v>28</v>
      </c>
      <c r="E4" s="1" t="s">
        <v>205</v>
      </c>
      <c r="F4" s="1" t="s">
        <v>206</v>
      </c>
      <c r="G4" s="1" t="s">
        <v>66</v>
      </c>
      <c r="H4" s="1" t="s">
        <v>32</v>
      </c>
      <c r="I4" s="1" t="s">
        <v>67</v>
      </c>
      <c r="J4" s="1" t="s">
        <v>34</v>
      </c>
      <c r="K4" s="1" t="s">
        <v>68</v>
      </c>
      <c r="L4" s="1" t="s">
        <v>207</v>
      </c>
      <c r="M4" s="1" t="s">
        <v>208</v>
      </c>
      <c r="N4" s="6">
        <f t="shared" si="0"/>
        <v>6386914</v>
      </c>
      <c r="O4" s="1" t="s">
        <v>209</v>
      </c>
      <c r="P4" s="1" t="s">
        <v>72</v>
      </c>
      <c r="Q4" s="1" t="s">
        <v>73</v>
      </c>
      <c r="R4" s="1" t="s">
        <v>74</v>
      </c>
      <c r="S4" s="1" t="s">
        <v>32</v>
      </c>
      <c r="T4" s="1" t="s">
        <v>75</v>
      </c>
      <c r="U4" s="1" t="s">
        <v>76</v>
      </c>
      <c r="V4" s="1" t="s">
        <v>44</v>
      </c>
      <c r="W4" s="1" t="s">
        <v>45</v>
      </c>
      <c r="X4" s="1" t="s">
        <v>210</v>
      </c>
      <c r="Y4" s="1" t="s">
        <v>47</v>
      </c>
      <c r="Z4" s="1" t="s">
        <v>211</v>
      </c>
    </row>
    <row r="5" spans="1:26" x14ac:dyDescent="0.2">
      <c r="A5" s="1" t="s">
        <v>155</v>
      </c>
      <c r="B5" s="1" t="s">
        <v>156</v>
      </c>
      <c r="C5" s="1" t="s">
        <v>27</v>
      </c>
      <c r="D5" s="1" t="s">
        <v>28</v>
      </c>
      <c r="E5" s="1" t="s">
        <v>157</v>
      </c>
      <c r="F5" s="1" t="s">
        <v>158</v>
      </c>
      <c r="G5" s="1" t="s">
        <v>159</v>
      </c>
      <c r="H5" s="1" t="s">
        <v>32</v>
      </c>
      <c r="I5" s="1" t="s">
        <v>160</v>
      </c>
      <c r="J5" s="1" t="s">
        <v>34</v>
      </c>
      <c r="K5" s="1" t="s">
        <v>68</v>
      </c>
      <c r="L5" s="1" t="s">
        <v>161</v>
      </c>
      <c r="M5" s="1" t="s">
        <v>162</v>
      </c>
      <c r="N5" s="1"/>
      <c r="O5" s="1" t="s">
        <v>163</v>
      </c>
      <c r="P5" s="1" t="s">
        <v>164</v>
      </c>
      <c r="Q5" s="1" t="s">
        <v>165</v>
      </c>
      <c r="R5" s="1" t="s">
        <v>166</v>
      </c>
      <c r="S5" s="1" t="s">
        <v>32</v>
      </c>
      <c r="T5" s="1" t="s">
        <v>167</v>
      </c>
      <c r="U5" s="1" t="s">
        <v>168</v>
      </c>
      <c r="V5" s="1" t="s">
        <v>44</v>
      </c>
      <c r="W5" s="1" t="s">
        <v>45</v>
      </c>
      <c r="X5" s="1" t="s">
        <v>169</v>
      </c>
      <c r="Y5" s="1" t="s">
        <v>47</v>
      </c>
      <c r="Z5" s="1" t="s">
        <v>170</v>
      </c>
    </row>
    <row r="6" spans="1:26" x14ac:dyDescent="0.2">
      <c r="A6" s="1" t="s">
        <v>212</v>
      </c>
      <c r="B6" s="1" t="s">
        <v>213</v>
      </c>
      <c r="C6" s="1" t="s">
        <v>27</v>
      </c>
      <c r="D6" s="1" t="s">
        <v>28</v>
      </c>
      <c r="E6" s="1" t="s">
        <v>214</v>
      </c>
      <c r="F6" s="1" t="s">
        <v>215</v>
      </c>
      <c r="G6" s="1" t="s">
        <v>216</v>
      </c>
      <c r="H6" s="1" t="s">
        <v>32</v>
      </c>
      <c r="I6" s="1" t="s">
        <v>217</v>
      </c>
      <c r="J6" s="1" t="s">
        <v>34</v>
      </c>
      <c r="K6" s="1" t="s">
        <v>218</v>
      </c>
      <c r="L6" s="1" t="s">
        <v>207</v>
      </c>
      <c r="M6" s="1" t="s">
        <v>219</v>
      </c>
      <c r="N6" s="6">
        <f t="shared" si="0"/>
        <v>306236</v>
      </c>
      <c r="O6" s="1" t="s">
        <v>220</v>
      </c>
      <c r="P6" s="1" t="s">
        <v>221</v>
      </c>
      <c r="Q6" s="1" t="s">
        <v>222</v>
      </c>
      <c r="R6" s="1" t="s">
        <v>223</v>
      </c>
      <c r="S6" s="1" t="s">
        <v>32</v>
      </c>
      <c r="T6" s="1" t="s">
        <v>224</v>
      </c>
      <c r="U6" s="1" t="s">
        <v>225</v>
      </c>
      <c r="V6" s="1" t="s">
        <v>44</v>
      </c>
      <c r="W6" s="1" t="s">
        <v>45</v>
      </c>
      <c r="X6" s="1" t="s">
        <v>153</v>
      </c>
      <c r="Y6" s="1" t="s">
        <v>47</v>
      </c>
      <c r="Z6" s="1" t="s">
        <v>226</v>
      </c>
    </row>
    <row r="7" spans="1:26" x14ac:dyDescent="0.2">
      <c r="A7" s="1" t="s">
        <v>79</v>
      </c>
      <c r="B7" s="1" t="s">
        <v>80</v>
      </c>
      <c r="C7" s="1" t="s">
        <v>27</v>
      </c>
      <c r="D7" s="1" t="s">
        <v>28</v>
      </c>
      <c r="E7" s="1" t="s">
        <v>51</v>
      </c>
      <c r="F7" s="1" t="s">
        <v>81</v>
      </c>
      <c r="G7" s="1" t="s">
        <v>82</v>
      </c>
      <c r="H7" s="1" t="s">
        <v>32</v>
      </c>
      <c r="I7" s="1" t="s">
        <v>83</v>
      </c>
      <c r="J7" s="1" t="s">
        <v>34</v>
      </c>
      <c r="K7" s="1" t="s">
        <v>84</v>
      </c>
      <c r="L7" s="1" t="s">
        <v>36</v>
      </c>
      <c r="M7" s="1" t="s">
        <v>85</v>
      </c>
      <c r="N7" s="1"/>
      <c r="O7" s="1" t="s">
        <v>86</v>
      </c>
      <c r="P7" s="1" t="s">
        <v>87</v>
      </c>
      <c r="Q7" s="1" t="s">
        <v>88</v>
      </c>
      <c r="R7" s="1" t="s">
        <v>89</v>
      </c>
      <c r="S7" s="1" t="s">
        <v>32</v>
      </c>
      <c r="T7" s="1" t="s">
        <v>90</v>
      </c>
      <c r="U7" s="1" t="s">
        <v>91</v>
      </c>
      <c r="V7" s="1" t="s">
        <v>44</v>
      </c>
      <c r="W7" s="1" t="s">
        <v>45</v>
      </c>
      <c r="X7" s="1" t="s">
        <v>92</v>
      </c>
      <c r="Y7" s="1" t="s">
        <v>47</v>
      </c>
      <c r="Z7" s="1" t="s">
        <v>93</v>
      </c>
    </row>
    <row r="8" spans="1:26" x14ac:dyDescent="0.2">
      <c r="A8" s="1" t="s">
        <v>249</v>
      </c>
      <c r="B8" s="1" t="s">
        <v>250</v>
      </c>
      <c r="C8" s="1" t="s">
        <v>251</v>
      </c>
      <c r="D8" s="1" t="s">
        <v>28</v>
      </c>
      <c r="E8" s="1" t="s">
        <v>241</v>
      </c>
      <c r="F8" s="1" t="s">
        <v>252</v>
      </c>
      <c r="G8" s="1" t="s">
        <v>253</v>
      </c>
      <c r="H8" s="1" t="s">
        <v>32</v>
      </c>
      <c r="I8" s="1" t="s">
        <v>99</v>
      </c>
      <c r="J8" s="1" t="s">
        <v>34</v>
      </c>
      <c r="K8" s="1" t="s">
        <v>84</v>
      </c>
      <c r="L8" s="1" t="s">
        <v>244</v>
      </c>
      <c r="M8" s="1" t="s">
        <v>254</v>
      </c>
      <c r="N8" s="6">
        <f t="shared" si="0"/>
        <v>635012</v>
      </c>
      <c r="O8" s="1" t="s">
        <v>255</v>
      </c>
      <c r="P8" s="1" t="s">
        <v>256</v>
      </c>
      <c r="Q8" s="1" t="s">
        <v>105</v>
      </c>
      <c r="R8" s="1" t="s">
        <v>106</v>
      </c>
      <c r="S8" s="1" t="s">
        <v>32</v>
      </c>
      <c r="T8" s="1" t="s">
        <v>107</v>
      </c>
      <c r="U8" s="1" t="s">
        <v>108</v>
      </c>
      <c r="V8" s="1" t="s">
        <v>44</v>
      </c>
      <c r="W8" s="1" t="s">
        <v>45</v>
      </c>
      <c r="X8" s="1" t="s">
        <v>153</v>
      </c>
      <c r="Y8" s="1" t="s">
        <v>47</v>
      </c>
      <c r="Z8" s="1" t="s">
        <v>257</v>
      </c>
    </row>
    <row r="9" spans="1:26" x14ac:dyDescent="0.2">
      <c r="A9" s="1" t="s">
        <v>171</v>
      </c>
      <c r="B9" s="1" t="s">
        <v>172</v>
      </c>
      <c r="C9" s="1" t="s">
        <v>27</v>
      </c>
      <c r="D9" s="1" t="s">
        <v>28</v>
      </c>
      <c r="E9" s="1" t="s">
        <v>173</v>
      </c>
      <c r="F9" s="1" t="s">
        <v>174</v>
      </c>
      <c r="G9" s="1" t="s">
        <v>175</v>
      </c>
      <c r="H9" s="1" t="s">
        <v>32</v>
      </c>
      <c r="I9" s="1" t="s">
        <v>99</v>
      </c>
      <c r="J9" s="1" t="s">
        <v>34</v>
      </c>
      <c r="K9" s="1" t="s">
        <v>100</v>
      </c>
      <c r="L9" s="1" t="s">
        <v>176</v>
      </c>
      <c r="M9" s="1" t="s">
        <v>177</v>
      </c>
      <c r="N9" s="6">
        <f t="shared" si="0"/>
        <v>645836</v>
      </c>
      <c r="O9" s="1" t="s">
        <v>178</v>
      </c>
      <c r="P9" s="1" t="s">
        <v>179</v>
      </c>
      <c r="Q9" s="1" t="s">
        <v>105</v>
      </c>
      <c r="R9" s="1" t="s">
        <v>106</v>
      </c>
      <c r="S9" s="1" t="s">
        <v>32</v>
      </c>
      <c r="T9" s="1" t="s">
        <v>107</v>
      </c>
      <c r="U9" s="1" t="s">
        <v>108</v>
      </c>
      <c r="V9" s="1" t="s">
        <v>44</v>
      </c>
      <c r="W9" s="1" t="s">
        <v>45</v>
      </c>
      <c r="X9" s="1" t="s">
        <v>180</v>
      </c>
      <c r="Y9" s="1" t="s">
        <v>47</v>
      </c>
      <c r="Z9" s="1" t="s">
        <v>181</v>
      </c>
    </row>
    <row r="10" spans="1:26" x14ac:dyDescent="0.2">
      <c r="A10" s="1" t="s">
        <v>94</v>
      </c>
      <c r="B10" s="1" t="s">
        <v>95</v>
      </c>
      <c r="C10" s="1" t="s">
        <v>27</v>
      </c>
      <c r="D10" s="1" t="s">
        <v>28</v>
      </c>
      <c r="E10" s="1" t="s">
        <v>96</v>
      </c>
      <c r="F10" s="1" t="s">
        <v>97</v>
      </c>
      <c r="G10" s="1" t="s">
        <v>98</v>
      </c>
      <c r="H10" s="1" t="s">
        <v>32</v>
      </c>
      <c r="I10" s="1" t="s">
        <v>99</v>
      </c>
      <c r="J10" s="1" t="s">
        <v>34</v>
      </c>
      <c r="K10" s="1" t="s">
        <v>100</v>
      </c>
      <c r="L10" s="1" t="s">
        <v>101</v>
      </c>
      <c r="M10" s="1" t="s">
        <v>102</v>
      </c>
      <c r="N10" s="6">
        <f t="shared" si="0"/>
        <v>565044</v>
      </c>
      <c r="O10" s="1" t="s">
        <v>103</v>
      </c>
      <c r="P10" s="1" t="s">
        <v>104</v>
      </c>
      <c r="Q10" s="1" t="s">
        <v>105</v>
      </c>
      <c r="R10" s="1" t="s">
        <v>106</v>
      </c>
      <c r="S10" s="1" t="s">
        <v>32</v>
      </c>
      <c r="T10" s="1" t="s">
        <v>107</v>
      </c>
      <c r="U10" s="1" t="s">
        <v>108</v>
      </c>
      <c r="V10" s="1" t="s">
        <v>44</v>
      </c>
      <c r="W10" s="1" t="s">
        <v>45</v>
      </c>
      <c r="X10" s="1" t="s">
        <v>109</v>
      </c>
      <c r="Y10" s="1" t="s">
        <v>47</v>
      </c>
      <c r="Z10" s="1" t="s">
        <v>110</v>
      </c>
    </row>
    <row r="11" spans="1:26" x14ac:dyDescent="0.2">
      <c r="A11" s="1" t="s">
        <v>190</v>
      </c>
      <c r="B11" s="1" t="s">
        <v>191</v>
      </c>
      <c r="C11" s="1" t="s">
        <v>27</v>
      </c>
      <c r="D11" s="1" t="s">
        <v>28</v>
      </c>
      <c r="E11" s="1" t="s">
        <v>173</v>
      </c>
      <c r="F11" s="1" t="s">
        <v>192</v>
      </c>
      <c r="G11" s="1" t="s">
        <v>193</v>
      </c>
      <c r="H11" s="1" t="s">
        <v>32</v>
      </c>
      <c r="I11" s="1" t="s">
        <v>194</v>
      </c>
      <c r="J11" s="1" t="s">
        <v>34</v>
      </c>
      <c r="K11" s="1" t="s">
        <v>100</v>
      </c>
      <c r="L11" s="1" t="s">
        <v>176</v>
      </c>
      <c r="M11" s="1" t="s">
        <v>195</v>
      </c>
      <c r="N11" s="6">
        <f t="shared" si="0"/>
        <v>539574</v>
      </c>
      <c r="O11" s="1" t="s">
        <v>196</v>
      </c>
      <c r="P11" s="1" t="s">
        <v>197</v>
      </c>
      <c r="Q11" s="1" t="s">
        <v>198</v>
      </c>
      <c r="R11" s="1" t="s">
        <v>199</v>
      </c>
      <c r="S11" s="1" t="s">
        <v>32</v>
      </c>
      <c r="T11" s="1" t="s">
        <v>200</v>
      </c>
      <c r="U11" s="1" t="s">
        <v>201</v>
      </c>
      <c r="V11" s="1" t="s">
        <v>44</v>
      </c>
      <c r="W11" s="1" t="s">
        <v>45</v>
      </c>
      <c r="X11" s="1" t="s">
        <v>180</v>
      </c>
      <c r="Y11" s="1" t="s">
        <v>47</v>
      </c>
      <c r="Z11" s="1" t="s">
        <v>202</v>
      </c>
    </row>
    <row r="12" spans="1:26" x14ac:dyDescent="0.2">
      <c r="A12" s="1" t="s">
        <v>111</v>
      </c>
      <c r="B12" s="1" t="s">
        <v>112</v>
      </c>
      <c r="C12" s="1" t="s">
        <v>27</v>
      </c>
      <c r="D12" s="1" t="s">
        <v>28</v>
      </c>
      <c r="E12" s="1" t="s">
        <v>96</v>
      </c>
      <c r="F12" s="1" t="s">
        <v>113</v>
      </c>
      <c r="G12" s="1" t="s">
        <v>114</v>
      </c>
      <c r="H12" s="1" t="s">
        <v>32</v>
      </c>
      <c r="I12" s="1" t="s">
        <v>115</v>
      </c>
      <c r="J12" s="1" t="s">
        <v>34</v>
      </c>
      <c r="K12" s="1" t="s">
        <v>68</v>
      </c>
      <c r="L12" s="1" t="s">
        <v>101</v>
      </c>
      <c r="M12" s="1" t="s">
        <v>116</v>
      </c>
      <c r="N12" s="1"/>
      <c r="O12" s="1" t="s">
        <v>117</v>
      </c>
      <c r="P12" s="1" t="s">
        <v>118</v>
      </c>
      <c r="Q12" s="1" t="s">
        <v>119</v>
      </c>
      <c r="R12" s="1" t="s">
        <v>120</v>
      </c>
      <c r="S12" s="1" t="s">
        <v>32</v>
      </c>
      <c r="T12" s="1" t="s">
        <v>121</v>
      </c>
      <c r="U12" s="1" t="s">
        <v>122</v>
      </c>
      <c r="V12" s="1" t="s">
        <v>44</v>
      </c>
      <c r="W12" s="1" t="s">
        <v>45</v>
      </c>
      <c r="X12" s="1" t="s">
        <v>123</v>
      </c>
      <c r="Y12" s="1" t="s">
        <v>47</v>
      </c>
      <c r="Z12" s="1" t="s">
        <v>124</v>
      </c>
    </row>
    <row r="13" spans="1:26" x14ac:dyDescent="0.2">
      <c r="A13" s="1" t="s">
        <v>25</v>
      </c>
      <c r="B13" s="1" t="s">
        <v>26</v>
      </c>
      <c r="C13" s="1" t="s">
        <v>27</v>
      </c>
      <c r="D13" s="1" t="s">
        <v>28</v>
      </c>
      <c r="E13" s="1" t="s">
        <v>29</v>
      </c>
      <c r="F13" s="1" t="s">
        <v>30</v>
      </c>
      <c r="G13" s="1" t="s">
        <v>31</v>
      </c>
      <c r="H13" s="1" t="s">
        <v>32</v>
      </c>
      <c r="I13" s="1" t="s">
        <v>33</v>
      </c>
      <c r="J13" s="1" t="s">
        <v>34</v>
      </c>
      <c r="K13" s="1" t="s">
        <v>35</v>
      </c>
      <c r="L13" s="1" t="s">
        <v>36</v>
      </c>
      <c r="M13" s="1" t="s">
        <v>37</v>
      </c>
      <c r="N13" s="6">
        <f t="shared" si="0"/>
        <v>427415</v>
      </c>
      <c r="O13" s="1" t="s">
        <v>38</v>
      </c>
      <c r="P13" s="1" t="s">
        <v>39</v>
      </c>
      <c r="Q13" s="1" t="s">
        <v>40</v>
      </c>
      <c r="R13" s="1" t="s">
        <v>41</v>
      </c>
      <c r="S13" s="1" t="s">
        <v>32</v>
      </c>
      <c r="T13" s="1" t="s">
        <v>42</v>
      </c>
      <c r="U13" s="1" t="s">
        <v>43</v>
      </c>
      <c r="V13" s="1" t="s">
        <v>44</v>
      </c>
      <c r="W13" s="1" t="s">
        <v>45</v>
      </c>
      <c r="X13" s="1" t="s">
        <v>46</v>
      </c>
      <c r="Y13" s="1" t="s">
        <v>47</v>
      </c>
      <c r="Z13" s="1" t="s">
        <v>48</v>
      </c>
    </row>
    <row r="14" spans="1:26" x14ac:dyDescent="0.2">
      <c r="A14" s="1" t="s">
        <v>139</v>
      </c>
      <c r="B14" s="1" t="s">
        <v>140</v>
      </c>
      <c r="C14" s="1" t="s">
        <v>27</v>
      </c>
      <c r="D14" s="1" t="s">
        <v>28</v>
      </c>
      <c r="E14" s="1" t="s">
        <v>141</v>
      </c>
      <c r="F14" s="1" t="s">
        <v>142</v>
      </c>
      <c r="G14" s="1" t="s">
        <v>143</v>
      </c>
      <c r="H14" s="1" t="s">
        <v>32</v>
      </c>
      <c r="I14" s="1" t="s">
        <v>144</v>
      </c>
      <c r="J14" s="1" t="s">
        <v>34</v>
      </c>
      <c r="K14" s="1" t="s">
        <v>68</v>
      </c>
      <c r="L14" s="1" t="s">
        <v>145</v>
      </c>
      <c r="M14" s="1" t="s">
        <v>146</v>
      </c>
      <c r="N14" s="1"/>
      <c r="O14" s="1" t="s">
        <v>147</v>
      </c>
      <c r="P14" s="1" t="s">
        <v>148</v>
      </c>
      <c r="Q14" s="1" t="s">
        <v>149</v>
      </c>
      <c r="R14" s="1" t="s">
        <v>150</v>
      </c>
      <c r="S14" s="1" t="s">
        <v>32</v>
      </c>
      <c r="T14" s="1" t="s">
        <v>151</v>
      </c>
      <c r="U14" s="1" t="s">
        <v>152</v>
      </c>
      <c r="V14" s="1" t="s">
        <v>44</v>
      </c>
      <c r="W14" s="1" t="s">
        <v>45</v>
      </c>
      <c r="X14" s="1" t="s">
        <v>153</v>
      </c>
      <c r="Y14" s="1" t="s">
        <v>47</v>
      </c>
      <c r="Z14" s="1" t="s">
        <v>154</v>
      </c>
    </row>
    <row r="15" spans="1:26" x14ac:dyDescent="0.2">
      <c r="A15" s="1" t="s">
        <v>125</v>
      </c>
      <c r="B15" s="1" t="s">
        <v>126</v>
      </c>
      <c r="C15" s="1" t="s">
        <v>27</v>
      </c>
      <c r="D15" s="1" t="s">
        <v>28</v>
      </c>
      <c r="E15" s="1" t="s">
        <v>96</v>
      </c>
      <c r="F15" s="1" t="s">
        <v>127</v>
      </c>
      <c r="G15" s="1" t="s">
        <v>128</v>
      </c>
      <c r="H15" s="1" t="s">
        <v>32</v>
      </c>
      <c r="I15" s="1" t="s">
        <v>129</v>
      </c>
      <c r="J15" s="1" t="s">
        <v>34</v>
      </c>
      <c r="K15" s="1" t="s">
        <v>68</v>
      </c>
      <c r="L15" s="1" t="s">
        <v>101</v>
      </c>
      <c r="M15" s="1" t="s">
        <v>130</v>
      </c>
      <c r="N15" s="6">
        <f t="shared" si="0"/>
        <v>999955</v>
      </c>
      <c r="O15" s="1" t="s">
        <v>131</v>
      </c>
      <c r="P15" s="1" t="s">
        <v>132</v>
      </c>
      <c r="Q15" s="1" t="s">
        <v>133</v>
      </c>
      <c r="R15" s="1" t="s">
        <v>134</v>
      </c>
      <c r="S15" s="1" t="s">
        <v>32</v>
      </c>
      <c r="T15" s="1" t="s">
        <v>135</v>
      </c>
      <c r="U15" s="1" t="s">
        <v>136</v>
      </c>
      <c r="V15" s="1" t="s">
        <v>44</v>
      </c>
      <c r="W15" s="1" t="s">
        <v>45</v>
      </c>
      <c r="X15" s="1" t="s">
        <v>137</v>
      </c>
      <c r="Y15" s="1" t="s">
        <v>47</v>
      </c>
      <c r="Z15" s="1" t="s">
        <v>138</v>
      </c>
    </row>
    <row r="16" spans="1:26" x14ac:dyDescent="0.2">
      <c r="A16" s="1" t="s">
        <v>227</v>
      </c>
      <c r="B16" s="1" t="s">
        <v>228</v>
      </c>
      <c r="C16" s="1" t="s">
        <v>27</v>
      </c>
      <c r="D16" s="1" t="s">
        <v>28</v>
      </c>
      <c r="E16" s="1" t="s">
        <v>229</v>
      </c>
      <c r="F16" s="1" t="s">
        <v>230</v>
      </c>
      <c r="G16" s="1" t="s">
        <v>231</v>
      </c>
      <c r="H16" s="1" t="s">
        <v>32</v>
      </c>
      <c r="I16" s="1" t="s">
        <v>129</v>
      </c>
      <c r="J16" s="1" t="s">
        <v>34</v>
      </c>
      <c r="K16" s="1" t="s">
        <v>232</v>
      </c>
      <c r="L16" s="1" t="s">
        <v>233</v>
      </c>
      <c r="M16" s="1" t="s">
        <v>234</v>
      </c>
      <c r="N16" s="6">
        <f t="shared" si="0"/>
        <v>449001</v>
      </c>
      <c r="O16" s="1" t="s">
        <v>235</v>
      </c>
      <c r="P16" s="1" t="s">
        <v>236</v>
      </c>
      <c r="Q16" s="1" t="s">
        <v>133</v>
      </c>
      <c r="R16" s="1" t="s">
        <v>134</v>
      </c>
      <c r="S16" s="1" t="s">
        <v>32</v>
      </c>
      <c r="T16" s="1" t="s">
        <v>135</v>
      </c>
      <c r="U16" s="1" t="s">
        <v>136</v>
      </c>
      <c r="V16" s="1" t="s">
        <v>44</v>
      </c>
      <c r="W16" s="1" t="s">
        <v>45</v>
      </c>
      <c r="X16" s="1" t="s">
        <v>237</v>
      </c>
      <c r="Y16" s="1" t="s">
        <v>47</v>
      </c>
      <c r="Z16" s="1" t="s">
        <v>238</v>
      </c>
    </row>
    <row r="17" spans="1:26" x14ac:dyDescent="0.2">
      <c r="A17" s="1" t="s">
        <v>182</v>
      </c>
      <c r="B17" s="1" t="s">
        <v>183</v>
      </c>
      <c r="C17" s="1" t="s">
        <v>27</v>
      </c>
      <c r="D17" s="1" t="s">
        <v>28</v>
      </c>
      <c r="E17" s="1" t="s">
        <v>173</v>
      </c>
      <c r="F17" s="1" t="s">
        <v>184</v>
      </c>
      <c r="G17" s="1" t="s">
        <v>185</v>
      </c>
      <c r="H17" s="1" t="s">
        <v>32</v>
      </c>
      <c r="I17" s="1" t="s">
        <v>129</v>
      </c>
      <c r="J17" s="1" t="s">
        <v>34</v>
      </c>
      <c r="K17" s="1" t="s">
        <v>68</v>
      </c>
      <c r="L17" s="1" t="s">
        <v>176</v>
      </c>
      <c r="M17" s="1" t="s">
        <v>186</v>
      </c>
      <c r="N17" s="6">
        <f t="shared" si="0"/>
        <v>636128</v>
      </c>
      <c r="O17" s="1" t="s">
        <v>187</v>
      </c>
      <c r="P17" s="1" t="s">
        <v>188</v>
      </c>
      <c r="Q17" s="1" t="s">
        <v>133</v>
      </c>
      <c r="R17" s="1" t="s">
        <v>134</v>
      </c>
      <c r="S17" s="1" t="s">
        <v>32</v>
      </c>
      <c r="T17" s="1" t="s">
        <v>135</v>
      </c>
      <c r="U17" s="1" t="s">
        <v>136</v>
      </c>
      <c r="V17" s="1" t="s">
        <v>44</v>
      </c>
      <c r="W17" s="1" t="s">
        <v>45</v>
      </c>
      <c r="X17" s="1" t="s">
        <v>153</v>
      </c>
      <c r="Y17" s="1" t="s">
        <v>47</v>
      </c>
      <c r="Z17" s="1" t="s">
        <v>189</v>
      </c>
    </row>
    <row r="18" spans="1:26" x14ac:dyDescent="0.2">
      <c r="A18" s="1" t="s">
        <v>239</v>
      </c>
      <c r="B18" s="1" t="s">
        <v>240</v>
      </c>
      <c r="C18" s="1" t="s">
        <v>27</v>
      </c>
      <c r="D18" s="1" t="s">
        <v>28</v>
      </c>
      <c r="E18" s="1" t="s">
        <v>241</v>
      </c>
      <c r="F18" s="1" t="s">
        <v>242</v>
      </c>
      <c r="G18" s="1" t="s">
        <v>243</v>
      </c>
      <c r="H18" s="1" t="s">
        <v>32</v>
      </c>
      <c r="I18" s="1" t="s">
        <v>129</v>
      </c>
      <c r="J18" s="1" t="s">
        <v>34</v>
      </c>
      <c r="K18" s="1" t="s">
        <v>232</v>
      </c>
      <c r="L18" s="1" t="s">
        <v>244</v>
      </c>
      <c r="M18" s="1" t="s">
        <v>245</v>
      </c>
      <c r="N18" s="6">
        <f t="shared" si="0"/>
        <v>520783</v>
      </c>
      <c r="O18" s="1" t="s">
        <v>246</v>
      </c>
      <c r="P18" s="1" t="s">
        <v>247</v>
      </c>
      <c r="Q18" s="1" t="s">
        <v>133</v>
      </c>
      <c r="R18" s="1" t="s">
        <v>134</v>
      </c>
      <c r="S18" s="1" t="s">
        <v>32</v>
      </c>
      <c r="T18" s="1" t="s">
        <v>135</v>
      </c>
      <c r="U18" s="1" t="s">
        <v>136</v>
      </c>
      <c r="V18" s="1" t="s">
        <v>44</v>
      </c>
      <c r="W18" s="1" t="s">
        <v>45</v>
      </c>
      <c r="X18" s="1" t="s">
        <v>153</v>
      </c>
      <c r="Y18" s="1" t="s">
        <v>47</v>
      </c>
      <c r="Z18" s="1" t="s">
        <v>248</v>
      </c>
    </row>
    <row r="23" spans="1:26" x14ac:dyDescent="0.2">
      <c r="N23">
        <f>SUM(N2:N18)</f>
        <v>18415232</v>
      </c>
    </row>
  </sheetData>
  <autoFilter ref="A1:Z18" xr:uid="{99C5A02B-97E1-984D-A183-DB85B8E46C10}">
    <sortState xmlns:xlrd2="http://schemas.microsoft.com/office/spreadsheetml/2017/richdata2" ref="A2:Z18">
      <sortCondition ref="I1:I18"/>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F4CBD-46FF-9E40-8758-1BE553E019D0}">
  <dimension ref="A1:F18"/>
  <sheetViews>
    <sheetView workbookViewId="0">
      <selection activeCell="F5" sqref="F5"/>
    </sheetView>
  </sheetViews>
  <sheetFormatPr baseColWidth="10" defaultRowHeight="16" x14ac:dyDescent="0.2"/>
  <cols>
    <col min="2" max="2" width="14.5703125" bestFit="1" customWidth="1"/>
    <col min="4" max="4" width="19.140625" bestFit="1" customWidth="1"/>
    <col min="5" max="5" width="31.140625" customWidth="1"/>
  </cols>
  <sheetData>
    <row r="1" spans="1:6" x14ac:dyDescent="0.2">
      <c r="B1" s="1" t="s">
        <v>8</v>
      </c>
      <c r="C1" s="1" t="s">
        <v>1</v>
      </c>
      <c r="D1" s="1" t="s">
        <v>6</v>
      </c>
      <c r="E1" s="3" t="s">
        <v>278</v>
      </c>
    </row>
    <row r="2" spans="1:6" x14ac:dyDescent="0.2">
      <c r="A2" s="4">
        <v>2553982</v>
      </c>
      <c r="B2" s="2" t="s">
        <v>258</v>
      </c>
      <c r="C2" s="1" t="s">
        <v>50</v>
      </c>
      <c r="D2" s="1" t="s">
        <v>53</v>
      </c>
      <c r="E2" s="1" t="s">
        <v>57</v>
      </c>
      <c r="F2" t="str">
        <f t="shared" ref="F2:F16" si="0">_xlfn.CONCAT("&lt;li&gt;&lt;strong&gt;", B2, ":&lt;/strong&gt; &lt;a href='https://www.nsf.gov/awardsearch/show-award/?AWD_ID=",A2,"' target='_blank' &gt;", C2, "&lt;/a&gt; (contact: ", D2, ", ", E2, ")&lt;/li&gt;")</f>
        <v>&lt;li&gt;&lt;strong&gt;Alamance:&lt;/strong&gt; &lt;a href='https://www.nsf.gov/awardsearch/show-award/?AWD_ID=2553982' target='_blank' &gt;Developing Biopharma Quality Technicians for the Biotechnology Workforce&lt;/a&gt; (contact: Michelle Sabaoun, michelle.sabaoun@alamancecc.edu)&lt;/li&gt;</v>
      </c>
    </row>
    <row r="3" spans="1:6" x14ac:dyDescent="0.2">
      <c r="A3" s="4">
        <v>2600081</v>
      </c>
      <c r="B3" s="2" t="s">
        <v>259</v>
      </c>
      <c r="C3" s="1" t="s">
        <v>64</v>
      </c>
      <c r="D3" s="1" t="s">
        <v>66</v>
      </c>
      <c r="E3" s="1" t="s">
        <v>72</v>
      </c>
      <c r="F3" t="str">
        <f t="shared" si="0"/>
        <v>&lt;li&gt;&lt;strong&gt;Central Carolina:&lt;/strong&gt; &lt;a href='https://www.nsf.gov/awardsearch/show-award/?AWD_ID=2600081' target='_blank' &gt;Environmental and Natural Resource Technology (EARTh) Center&lt;/a&gt; (contact: Andrew McMahan, amcmahan@cccc.edu)&lt;/li&gt;</v>
      </c>
    </row>
    <row r="4" spans="1:6" x14ac:dyDescent="0.2">
      <c r="A4" s="4">
        <v>2410621</v>
      </c>
      <c r="B4" s="2" t="s">
        <v>259</v>
      </c>
      <c r="C4" s="1" t="s">
        <v>204</v>
      </c>
      <c r="D4" s="1" t="s">
        <v>66</v>
      </c>
      <c r="E4" s="1" t="s">
        <v>72</v>
      </c>
      <c r="F4" t="str">
        <f t="shared" si="0"/>
        <v>&lt;li&gt;&lt;strong&gt;Central Carolina:&lt;/strong&gt; &lt;a href='https://www.nsf.gov/awardsearch/show-award/?AWD_ID=2410621' target='_blank' &gt;Establishing an Environmental and Natural Resources Technology Center&lt;/a&gt; (contact: Andrew McMahan, amcmahan@cccc.edu)&lt;/li&gt;</v>
      </c>
    </row>
    <row r="5" spans="1:6" x14ac:dyDescent="0.2">
      <c r="A5" s="4">
        <v>2500901</v>
      </c>
      <c r="B5" s="2" t="s">
        <v>260</v>
      </c>
      <c r="C5" s="1" t="s">
        <v>156</v>
      </c>
      <c r="D5" s="2" t="s">
        <v>271</v>
      </c>
      <c r="E5" s="1" t="s">
        <v>164</v>
      </c>
      <c r="F5" t="str">
        <f t="shared" si="0"/>
        <v>&lt;li&gt;&lt;strong&gt;Central Piedmont:&lt;/strong&gt; &lt;a href='https://www.nsf.gov/awardsearch/show-award/?AWD_ID=2500901' target='_blank' &gt;Generating Artificial Intelligence Talent&lt;/a&gt; (contact: Carl Arrington, carl.arrington@cpcc.edu)&lt;/li&gt;</v>
      </c>
    </row>
    <row r="6" spans="1:6" x14ac:dyDescent="0.2">
      <c r="A6" s="4">
        <v>2300650</v>
      </c>
      <c r="B6" s="2" t="s">
        <v>261</v>
      </c>
      <c r="C6" s="1" t="s">
        <v>213</v>
      </c>
      <c r="D6" s="2" t="s">
        <v>270</v>
      </c>
      <c r="E6" s="2" t="s">
        <v>269</v>
      </c>
      <c r="F6" t="str">
        <f t="shared" si="0"/>
        <v>&lt;li&gt;&lt;strong&gt;Edgecombe:&lt;/strong&gt; &lt;a href='https://www.nsf.gov/awardsearch/show-award/?AWD_ID=2300650' target='_blank' &gt;Preparing Manufacturing Technicians for the Challenges of Industry 4.0&lt;/a&gt; (contact: Merdikae Williams, williamsme@edgecombe.edu)&lt;/li&gt;</v>
      </c>
    </row>
    <row r="7" spans="1:6" x14ac:dyDescent="0.2">
      <c r="A7" s="4">
        <v>2600140</v>
      </c>
      <c r="B7" s="2" t="s">
        <v>262</v>
      </c>
      <c r="C7" s="1" t="s">
        <v>80</v>
      </c>
      <c r="D7" s="1" t="s">
        <v>82</v>
      </c>
      <c r="E7" s="1" t="s">
        <v>87</v>
      </c>
      <c r="F7" t="str">
        <f t="shared" si="0"/>
        <v>&lt;li&gt;&lt;strong&gt;Forsyth Tech:&lt;/strong&gt; &lt;a href='https://www.nsf.gov/awardsearch/show-award/?AWD_ID=2600140' target='_blank' &gt;Building Employer-Driven Pathways for Artificial Intelligence Technicians&lt;/a&gt; (contact: Melisa Bryant, jobryant@forsythtech.edu)&lt;/li&gt;</v>
      </c>
    </row>
    <row r="8" spans="1:6" x14ac:dyDescent="0.2">
      <c r="A8" s="4">
        <v>2201663</v>
      </c>
      <c r="B8" s="2" t="s">
        <v>263</v>
      </c>
      <c r="C8" s="1" t="s">
        <v>250</v>
      </c>
      <c r="D8" s="1" t="s">
        <v>253</v>
      </c>
      <c r="E8" s="1" t="s">
        <v>256</v>
      </c>
      <c r="F8" t="str">
        <f t="shared" si="0"/>
        <v>&lt;li&gt;&lt;strong&gt;Johnston:&lt;/strong&gt; &lt;a href='https://www.nsf.gov/awardsearch/show-award/?AWD_ID=2201663' target='_blank' &gt;Expanding a Multi-skilled STEM Technician Pipeline to Meet Industry Needs&lt;/a&gt; (contact: Melissa Robbins, mrobbins1@waketech.edu)&lt;/li&gt;</v>
      </c>
    </row>
    <row r="9" spans="1:6" x14ac:dyDescent="0.2">
      <c r="A9" s="4">
        <v>2348707</v>
      </c>
      <c r="B9" s="2" t="s">
        <v>263</v>
      </c>
      <c r="C9" s="1" t="s">
        <v>172</v>
      </c>
      <c r="D9" s="2" t="s">
        <v>272</v>
      </c>
      <c r="E9" s="1" t="s">
        <v>179</v>
      </c>
      <c r="F9" t="str">
        <f t="shared" si="0"/>
        <v>&lt;li&gt;&lt;strong&gt;Johnston:&lt;/strong&gt; &lt;a href='https://www.nsf.gov/awardsearch/show-award/?AWD_ID=2348707' target='_blank' &gt;Implementing a Simulated Cyber Range Training Environment to Prepare Cyber Technicians&lt;/a&gt; (contact: Kristopher Bradshaw, krbradshaw@johnstoncc.edu)&lt;/li&gt;</v>
      </c>
    </row>
    <row r="10" spans="1:6" x14ac:dyDescent="0.2">
      <c r="A10" s="4">
        <v>2452299</v>
      </c>
      <c r="B10" s="2" t="s">
        <v>263</v>
      </c>
      <c r="C10" s="1" t="s">
        <v>95</v>
      </c>
      <c r="D10" s="1" t="s">
        <v>98</v>
      </c>
      <c r="E10" s="1" t="s">
        <v>104</v>
      </c>
      <c r="F10" t="str">
        <f t="shared" si="0"/>
        <v>&lt;li&gt;&lt;strong&gt;Johnston:&lt;/strong&gt; &lt;a href='https://www.nsf.gov/awardsearch/show-award/?AWD_ID=2452299' target='_blank' &gt;Integrating Soft Skills with Technical Skills to Produce Next-Generation Cybersecurity Technicians&lt;/a&gt; (contact: Alan Gruver, aagruver@johnstoncc.edu)&lt;/li&gt;</v>
      </c>
    </row>
    <row r="11" spans="1:6" x14ac:dyDescent="0.2">
      <c r="A11" s="4">
        <v>2400694</v>
      </c>
      <c r="B11" s="2" t="s">
        <v>264</v>
      </c>
      <c r="C11" s="1" t="s">
        <v>191</v>
      </c>
      <c r="D11" s="1" t="s">
        <v>193</v>
      </c>
      <c r="E11" s="1" t="s">
        <v>197</v>
      </c>
      <c r="F11" t="str">
        <f t="shared" si="0"/>
        <v>&lt;li&gt;&lt;strong&gt;Nash:&lt;/strong&gt; &lt;a href='https://www.nsf.gov/awardsearch/show-award/?AWD_ID=2400694' target='_blank' &gt;Cultivating Cyber Safety Across Disciplines&lt;/a&gt; (contact: Nakisha Floyd, nwfloyd583@nashcc.edu)&lt;/li&gt;</v>
      </c>
    </row>
    <row r="12" spans="1:6" x14ac:dyDescent="0.2">
      <c r="A12" s="4">
        <v>2500556</v>
      </c>
      <c r="B12" s="2" t="s">
        <v>265</v>
      </c>
      <c r="C12" s="1" t="s">
        <v>112</v>
      </c>
      <c r="D12" s="2" t="s">
        <v>273</v>
      </c>
      <c r="E12" s="1" t="s">
        <v>118</v>
      </c>
      <c r="F12" t="str">
        <f t="shared" si="0"/>
        <v>&lt;li&gt;&lt;strong&gt;Piedmont:&lt;/strong&gt; &lt;a href='https://www.nsf.gov/awardsearch/show-award/?AWD_ID=2500556' target='_blank' &gt;FutureForce: AI Cyber Workforce Initiative&lt;/a&gt; (contact: Christopher Davis, chris.davis@piedmontcc.edu)&lt;/li&gt;</v>
      </c>
    </row>
    <row r="13" spans="1:6" x14ac:dyDescent="0.2">
      <c r="A13" s="4">
        <v>2600294</v>
      </c>
      <c r="B13" s="2" t="s">
        <v>266</v>
      </c>
      <c r="C13" s="1" t="s">
        <v>26</v>
      </c>
      <c r="D13" s="2" t="s">
        <v>274</v>
      </c>
      <c r="E13" s="1" t="s">
        <v>39</v>
      </c>
      <c r="F13" t="str">
        <f t="shared" si="0"/>
        <v>&lt;li&gt;&lt;strong&gt;Pitt:&lt;/strong&gt; &lt;a href='https://www.nsf.gov/awardsearch/show-award/?AWD_ID=2600294' target='_blank' &gt;Building a Quality Control Bioanalytical Lab Technician Pipeline Through Biotechnology Education and Industry Partnerships&lt;/a&gt; (contact: Christina Weeks, cgweeks383@my.pittcc.edu)&lt;/li&gt;</v>
      </c>
    </row>
    <row r="14" spans="1:6" x14ac:dyDescent="0.2">
      <c r="A14" s="4">
        <v>2500136</v>
      </c>
      <c r="B14" s="2" t="s">
        <v>267</v>
      </c>
      <c r="C14" s="1" t="s">
        <v>140</v>
      </c>
      <c r="D14" s="1" t="s">
        <v>143</v>
      </c>
      <c r="E14" s="1" t="s">
        <v>148</v>
      </c>
      <c r="F14" t="str">
        <f t="shared" si="0"/>
        <v>&lt;li&gt;&lt;strong&gt;Southeastern:&lt;/strong&gt; &lt;a href='https://www.nsf.gov/awardsearch/show-award/?AWD_ID=2500136' target='_blank' &gt;Advancing Education in Electric Vehicle Technology&lt;/a&gt; (contact: Johnny O'Connell, johnny025537@sccnc.edu)&lt;/li&gt;</v>
      </c>
    </row>
    <row r="15" spans="1:6" x14ac:dyDescent="0.2">
      <c r="A15" s="4">
        <v>2500068</v>
      </c>
      <c r="B15" s="2" t="s">
        <v>268</v>
      </c>
      <c r="C15" s="1" t="s">
        <v>126</v>
      </c>
      <c r="D15" s="1" t="s">
        <v>128</v>
      </c>
      <c r="E15" s="1" t="s">
        <v>132</v>
      </c>
      <c r="F15" t="str">
        <f t="shared" si="0"/>
        <v>&lt;li&gt;&lt;strong&gt;Wake Tech:&lt;/strong&gt; &lt;a href='https://www.nsf.gov/awardsearch/show-award/?AWD_ID=2500068' target='_blank' &gt;Advancing Automation Curricula to Graduate Technicians to Meet Future Industry Needs&lt;/a&gt; (contact: Lora Eddington, lmeddington@waketech.edu)&lt;/li&gt;</v>
      </c>
    </row>
    <row r="16" spans="1:6" x14ac:dyDescent="0.2">
      <c r="A16" s="4">
        <v>2329904</v>
      </c>
      <c r="B16" s="2" t="s">
        <v>268</v>
      </c>
      <c r="C16" s="1" t="s">
        <v>228</v>
      </c>
      <c r="D16" s="2" t="s">
        <v>276</v>
      </c>
      <c r="E16" s="1" t="s">
        <v>236</v>
      </c>
      <c r="F16" t="str">
        <f t="shared" si="0"/>
        <v>&lt;li&gt;&lt;strong&gt;Wake Tech:&lt;/strong&gt; &lt;a href='https://www.nsf.gov/awardsearch/show-award/?AWD_ID=2329904' target='_blank' &gt;Broadening Participation in Plant/Agricultural Biotechnology through Stackable Credentials Leading to an Associate in Science Degree&lt;/a&gt; (contact: Jill Mikulecky, jcmikulecky@waketech.edu)&lt;/li&gt;</v>
      </c>
    </row>
    <row r="17" spans="1:6" x14ac:dyDescent="0.2">
      <c r="A17" s="4">
        <v>2400407</v>
      </c>
      <c r="B17" s="2" t="s">
        <v>268</v>
      </c>
      <c r="C17" s="1" t="s">
        <v>183</v>
      </c>
      <c r="D17" s="2" t="s">
        <v>275</v>
      </c>
      <c r="E17" s="1" t="s">
        <v>188</v>
      </c>
      <c r="F17" t="str">
        <f t="shared" ref="F2:F17" si="1">_xlfn.CONCAT("&lt;li&gt;&lt;strong&gt;", B17, ":&lt;/strong&gt; &lt;a href='https://www.nsf.gov/awardsearch/show-award/?AWD_ID=",A17,"' target='_blank' &gt;", C17, "&lt;/a&gt; (contact: ", D17, ", ", E17, ")&lt;/li&gt;")</f>
        <v>&lt;li&gt;&lt;strong&gt;Wake Tech:&lt;/strong&gt; &lt;a href='https://www.nsf.gov/awardsearch/show-award/?AWD_ID=2400407' target='_blank' &gt;Curriculum Integration in Training EVs (CITE)&lt;/a&gt; (contact: Carl Stutz, cjstutz@waketech.edu)&lt;/li&gt;</v>
      </c>
    </row>
    <row r="18" spans="1:6" x14ac:dyDescent="0.2">
      <c r="A18" s="4">
        <v>2202007</v>
      </c>
      <c r="B18" s="2" t="s">
        <v>268</v>
      </c>
      <c r="C18" s="1" t="s">
        <v>240</v>
      </c>
      <c r="D18" s="2" t="s">
        <v>277</v>
      </c>
      <c r="E18" s="1" t="s">
        <v>247</v>
      </c>
      <c r="F18" t="str">
        <f>_xlfn.CONCAT("&lt;li&gt;&lt;strong&gt;", B18, ":&lt;/strong&gt; &lt;a href='https://www.nsf.gov/awardsearch/show-award/?AWD_ID=",A18,"' target='_blank' &gt;", C18, "&lt;/a&gt; (contact: ", D18, ", ", E18, ")&lt;/li&gt;")</f>
        <v>&lt;li&gt;&lt;strong&gt;Wake Tech:&lt;/strong&gt; &lt;a href='https://www.nsf.gov/awardsearch/show-award/?AWD_ID=2202007' target='_blank' &gt;Preparing Students for the Industry 4.0 Technician Workforce&lt;/a&gt; (contact: Edward Garner, epgarner@waketech.edu)&lt;/li&gt;</v>
      </c>
    </row>
  </sheetData>
  <sortState xmlns:xlrd2="http://schemas.microsoft.com/office/spreadsheetml/2017/richdata2" ref="B2:F18">
    <sortCondition ref="B2:B1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Awards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Miller, David</cp:lastModifiedBy>
  <dcterms:created xsi:type="dcterms:W3CDTF">2026-10-11T03:59:21Z</dcterms:created>
  <dcterms:modified xsi:type="dcterms:W3CDTF">2026-10-11T18:52:54Z</dcterms:modified>
</cp:coreProperties>
</file>